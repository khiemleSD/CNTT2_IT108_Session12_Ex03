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vận đơn" sheetId="1" state="visible" r:id="rId1"/>
    <sheet xmlns:r="http://schemas.openxmlformats.org/officeDocument/2006/relationships" name="BangG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A192F"/>
      <sz val="15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A192F"/>
      <sz val="13"/>
    </font>
  </fonts>
  <fills count="3">
    <fill>
      <patternFill/>
    </fill>
    <fill>
      <patternFill patternType="gray125"/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5" fillId="0" borderId="0" pivotButton="0" quotePrefix="0" xfId="0"/>
    <xf numFmtId="0" fontId="4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DANH SÁCH VẬN ĐƠN VÀ TÍNH CƯỚC TỰ ĐỘNG</t>
        </is>
      </c>
    </row>
    <row r="2">
      <c r="A2" s="2" t="inlineStr">
        <is>
          <t>FastMove Logistics | Cập nhật: 20/05/2024</t>
        </is>
      </c>
    </row>
    <row r="4">
      <c r="A4" s="3" t="inlineStr">
        <is>
          <t>STT</t>
        </is>
      </c>
      <c r="B4" s="3" t="inlineStr">
        <is>
          <t>Mã vận đơn</t>
        </is>
      </c>
      <c r="C4" s="3" t="inlineStr">
        <is>
          <t>Khu vực</t>
        </is>
      </c>
      <c r="D4" s="3" t="inlineStr">
        <is>
          <t>Trọng lượng (kg)</t>
        </is>
      </c>
      <c r="E4" s="3" t="inlineStr">
        <is>
          <t>Cước phí (VNĐ)</t>
        </is>
      </c>
      <c r="F4" s="3" t="inlineStr">
        <is>
          <t>Trạng thái</t>
        </is>
      </c>
    </row>
    <row r="5">
      <c r="A5" s="4" t="n">
        <v>1</v>
      </c>
      <c r="B5" s="4" t="inlineStr">
        <is>
          <t>FM-202401</t>
        </is>
      </c>
      <c r="C5" s="4" t="inlineStr">
        <is>
          <t>Miền Bắc</t>
        </is>
      </c>
      <c r="D5" s="4" t="n">
        <v>1.7</v>
      </c>
      <c r="E5" s="5">
        <f>IFERROR(VLOOKUP(C5, BangGia!$A$2:$C$4, 2, FALSE) * D5, 25000)</f>
        <v/>
      </c>
      <c r="F5" s="4" t="inlineStr">
        <is>
          <t>Đang giao</t>
        </is>
      </c>
    </row>
    <row r="6">
      <c r="A6" s="4" t="n">
        <v>2</v>
      </c>
      <c r="B6" s="4" t="inlineStr">
        <is>
          <t>FM-202402</t>
        </is>
      </c>
      <c r="C6" s="4" t="inlineStr">
        <is>
          <t>Miền Trung</t>
        </is>
      </c>
      <c r="D6" s="4" t="n">
        <v>1</v>
      </c>
      <c r="E6" s="5">
        <f>IFERROR(VLOOKUP(C6, BangGia!$A$2:$C$4, 2, FALSE) * D6, 25000)</f>
        <v/>
      </c>
      <c r="F6" s="4" t="inlineStr">
        <is>
          <t>Đã giao</t>
        </is>
      </c>
    </row>
    <row r="7">
      <c r="A7" s="4" t="n">
        <v>3</v>
      </c>
      <c r="B7" s="4" t="inlineStr">
        <is>
          <t>FM-202403</t>
        </is>
      </c>
      <c r="C7" s="4" t="inlineStr">
        <is>
          <t>Miền Trung</t>
        </is>
      </c>
      <c r="D7" s="4" t="n">
        <v>2.9</v>
      </c>
      <c r="E7" s="5">
        <f>IFERROR(VLOOKUP(C7, BangGia!$A$2:$C$4, 2, FALSE) * D7, 25000)</f>
        <v/>
      </c>
      <c r="F7" s="4" t="inlineStr">
        <is>
          <t>Đang giao</t>
        </is>
      </c>
    </row>
    <row r="8">
      <c r="A8" s="4" t="n">
        <v>4</v>
      </c>
      <c r="B8" s="4" t="inlineStr">
        <is>
          <t>FM-202404</t>
        </is>
      </c>
      <c r="C8" s="4" t="inlineStr">
        <is>
          <t>Miền Trung</t>
        </is>
      </c>
      <c r="D8" s="4" t="n">
        <v>4.3</v>
      </c>
      <c r="E8" s="5">
        <f>IFERROR(VLOOKUP(C8, BangGia!$A$2:$C$4, 2, FALSE) * D8, 25000)</f>
        <v/>
      </c>
      <c r="F8" s="4" t="inlineStr">
        <is>
          <t>Đã giao</t>
        </is>
      </c>
    </row>
    <row r="9">
      <c r="A9" s="4" t="n">
        <v>5</v>
      </c>
      <c r="B9" s="4" t="inlineStr">
        <is>
          <t>FM-202405</t>
        </is>
      </c>
      <c r="C9" s="4" t="inlineStr">
        <is>
          <t>Miền Bắc</t>
        </is>
      </c>
      <c r="D9" s="4" t="n">
        <v>2</v>
      </c>
      <c r="E9" s="5">
        <f>IFERROR(VLOOKUP(C9, BangGia!$A$2:$C$4, 2, FALSE) * D9, 25000)</f>
        <v/>
      </c>
      <c r="F9" s="4" t="inlineStr">
        <is>
          <t>Đang giao</t>
        </is>
      </c>
    </row>
    <row r="10">
      <c r="A10" s="4" t="n">
        <v>6</v>
      </c>
      <c r="B10" s="4" t="inlineStr">
        <is>
          <t>FM-202406</t>
        </is>
      </c>
      <c r="C10" s="4" t="inlineStr">
        <is>
          <t>Miền Nam</t>
        </is>
      </c>
      <c r="D10" s="4" t="n">
        <v>1.6</v>
      </c>
      <c r="E10" s="5">
        <f>IFERROR(VLOOKUP(C10, BangGia!$A$2:$C$4, 2, FALSE) * D10, 25000)</f>
        <v/>
      </c>
      <c r="F10" s="4" t="inlineStr">
        <is>
          <t>Đã giao</t>
        </is>
      </c>
    </row>
    <row r="11">
      <c r="A11" s="4" t="n">
        <v>7</v>
      </c>
      <c r="B11" s="4" t="inlineStr">
        <is>
          <t>FM-202407</t>
        </is>
      </c>
      <c r="C11" s="4" t="inlineStr">
        <is>
          <t>Miền Trung</t>
        </is>
      </c>
      <c r="D11" s="4" t="n">
        <v>4</v>
      </c>
      <c r="E11" s="5">
        <f>IFERROR(VLOOKUP(C11, BangGia!$A$2:$C$4, 2, FALSE) * D11, 25000)</f>
        <v/>
      </c>
      <c r="F11" s="4" t="inlineStr">
        <is>
          <t>Hoàn trả</t>
        </is>
      </c>
    </row>
    <row r="12">
      <c r="A12" s="4" t="n">
        <v>8</v>
      </c>
      <c r="B12" s="4" t="inlineStr">
        <is>
          <t>FM-202408</t>
        </is>
      </c>
      <c r="C12" s="4" t="inlineStr">
        <is>
          <t>Miền Trung</t>
        </is>
      </c>
      <c r="D12" s="4" t="n">
        <v>0.8</v>
      </c>
      <c r="E12" s="5">
        <f>IFERROR(VLOOKUP(C12, BangGia!$A$2:$C$4, 2, FALSE) * D12, 25000)</f>
        <v/>
      </c>
      <c r="F12" s="4" t="inlineStr">
        <is>
          <t>Đang giao</t>
        </is>
      </c>
    </row>
    <row r="13">
      <c r="A13" s="4" t="n">
        <v>9</v>
      </c>
      <c r="B13" s="4" t="inlineStr">
        <is>
          <t>FM-202409</t>
        </is>
      </c>
      <c r="C13" s="4" t="inlineStr">
        <is>
          <t>Miền Nam</t>
        </is>
      </c>
      <c r="D13" s="4" t="n">
        <v>2.5</v>
      </c>
      <c r="E13" s="5">
        <f>IFERROR(VLOOKUP(C13, BangGia!$A$2:$C$4, 2, FALSE) * D13, 25000)</f>
        <v/>
      </c>
      <c r="F13" s="4" t="inlineStr">
        <is>
          <t>Đã giao</t>
        </is>
      </c>
    </row>
    <row r="14">
      <c r="A14" s="4" t="n">
        <v>10</v>
      </c>
      <c r="B14" s="4" t="inlineStr">
        <is>
          <t>FM-202410</t>
        </is>
      </c>
      <c r="C14" s="4" t="inlineStr">
        <is>
          <t>Miền Bắc</t>
        </is>
      </c>
      <c r="D14" s="4" t="n">
        <v>3.5</v>
      </c>
      <c r="E14" s="5">
        <f>IFERROR(VLOOKUP(C14, BangGia!$A$2:$C$4, 2, FALSE) * D14, 25000)</f>
        <v/>
      </c>
      <c r="F14" s="4" t="inlineStr">
        <is>
          <t>Đã giao</t>
        </is>
      </c>
    </row>
    <row r="15">
      <c r="A15" s="4" t="n">
        <v>11</v>
      </c>
      <c r="B15" s="4" t="inlineStr">
        <is>
          <t>FM-202411</t>
        </is>
      </c>
      <c r="C15" s="4" t="inlineStr">
        <is>
          <t>Miền Bắc</t>
        </is>
      </c>
      <c r="D15" s="4" t="n">
        <v>1.8</v>
      </c>
      <c r="E15" s="5">
        <f>IFERROR(VLOOKUP(C15, BangGia!$A$2:$C$4, 2, FALSE) * D15, 25000)</f>
        <v/>
      </c>
      <c r="F15" s="4" t="inlineStr">
        <is>
          <t>Đang giao</t>
        </is>
      </c>
    </row>
    <row r="16">
      <c r="A16" s="4" t="n">
        <v>12</v>
      </c>
      <c r="B16" s="4" t="inlineStr">
        <is>
          <t>FM-202412</t>
        </is>
      </c>
      <c r="C16" s="4" t="inlineStr">
        <is>
          <t>Miền Nam</t>
        </is>
      </c>
      <c r="D16" s="4" t="n">
        <v>2.6</v>
      </c>
      <c r="E16" s="5">
        <f>IFERROR(VLOOKUP(C16, BangGia!$A$2:$C$4, 2, FALSE) * D16, 25000)</f>
        <v/>
      </c>
      <c r="F16" s="4" t="inlineStr">
        <is>
          <t>Đang giao</t>
        </is>
      </c>
    </row>
    <row r="17">
      <c r="A17" s="4" t="n">
        <v>13</v>
      </c>
      <c r="B17" s="4" t="inlineStr">
        <is>
          <t>FM-202413</t>
        </is>
      </c>
      <c r="C17" s="4" t="inlineStr">
        <is>
          <t>Miền Bắc</t>
        </is>
      </c>
      <c r="D17" s="4" t="n">
        <v>4</v>
      </c>
      <c r="E17" s="5">
        <f>IFERROR(VLOOKUP(C17, BangGia!$A$2:$C$4, 2, FALSE) * D17, 25000)</f>
        <v/>
      </c>
      <c r="F17" s="4" t="inlineStr">
        <is>
          <t>Đang giao</t>
        </is>
      </c>
    </row>
    <row r="18">
      <c r="A18" s="4" t="n">
        <v>14</v>
      </c>
      <c r="B18" s="4" t="inlineStr">
        <is>
          <t>FM-202414</t>
        </is>
      </c>
      <c r="C18" s="4" t="inlineStr">
        <is>
          <t>Miền Nam</t>
        </is>
      </c>
      <c r="D18" s="4" t="n">
        <v>4.1</v>
      </c>
      <c r="E18" s="5">
        <f>IFERROR(VLOOKUP(C18, BangGia!$A$2:$C$4, 2, FALSE) * D18, 25000)</f>
        <v/>
      </c>
      <c r="F18" s="4" t="inlineStr">
        <is>
          <t>Đã giao</t>
        </is>
      </c>
    </row>
    <row r="19">
      <c r="A19" s="4" t="n">
        <v>15</v>
      </c>
      <c r="B19" s="4" t="inlineStr">
        <is>
          <t>FM-202415</t>
        </is>
      </c>
      <c r="C19" s="4" t="inlineStr">
        <is>
          <t>Miền Nam</t>
        </is>
      </c>
      <c r="D19" s="4" t="n">
        <v>3.4</v>
      </c>
      <c r="E19" s="5">
        <f>IFERROR(VLOOKUP(C19, BangGia!$A$2:$C$4, 2, FALSE) * D19, 25000)</f>
        <v/>
      </c>
      <c r="F19" s="4" t="inlineStr">
        <is>
          <t>Hoàn trả</t>
        </is>
      </c>
    </row>
    <row r="20">
      <c r="A20" s="4" t="n">
        <v>16</v>
      </c>
      <c r="B20" s="4" t="inlineStr">
        <is>
          <t>FM-202416</t>
        </is>
      </c>
      <c r="C20" s="4" t="inlineStr">
        <is>
          <t>Miền Trung</t>
        </is>
      </c>
      <c r="D20" s="4" t="n">
        <v>0.6</v>
      </c>
      <c r="E20" s="5">
        <f>IFERROR(VLOOKUP(C20, BangGia!$A$2:$C$4, 2, FALSE) * D20, 25000)</f>
        <v/>
      </c>
      <c r="F20" s="4" t="inlineStr">
        <is>
          <t>Hoàn trả</t>
        </is>
      </c>
    </row>
    <row r="21">
      <c r="A21" s="4" t="n">
        <v>17</v>
      </c>
      <c r="B21" s="4" t="inlineStr">
        <is>
          <t>FM-202417</t>
        </is>
      </c>
      <c r="C21" s="4" t="inlineStr">
        <is>
          <t>Miền Nam</t>
        </is>
      </c>
      <c r="D21" s="4" t="n">
        <v>2.5</v>
      </c>
      <c r="E21" s="5">
        <f>IFERROR(VLOOKUP(C21, BangGia!$A$2:$C$4, 2, FALSE) * D21, 25000)</f>
        <v/>
      </c>
      <c r="F21" s="4" t="inlineStr">
        <is>
          <t>Hoàn trả</t>
        </is>
      </c>
    </row>
    <row r="22">
      <c r="A22" s="4" t="n">
        <v>18</v>
      </c>
      <c r="B22" s="4" t="inlineStr">
        <is>
          <t>FM-202418</t>
        </is>
      </c>
      <c r="C22" s="4" t="inlineStr">
        <is>
          <t>Miền Nam</t>
        </is>
      </c>
      <c r="D22" s="4" t="n">
        <v>4.1</v>
      </c>
      <c r="E22" s="5">
        <f>IFERROR(VLOOKUP(C22, BangGia!$A$2:$C$4, 2, FALSE) * D22, 25000)</f>
        <v/>
      </c>
      <c r="F22" s="4" t="inlineStr">
        <is>
          <t>Hoàn trả</t>
        </is>
      </c>
    </row>
    <row r="23">
      <c r="A23" s="4" t="n">
        <v>19</v>
      </c>
      <c r="B23" s="4" t="inlineStr">
        <is>
          <t>FM-202419</t>
        </is>
      </c>
      <c r="C23" s="4" t="inlineStr">
        <is>
          <t>Miền Trung</t>
        </is>
      </c>
      <c r="D23" s="4" t="n">
        <v>2.8</v>
      </c>
      <c r="E23" s="5">
        <f>IFERROR(VLOOKUP(C23, BangGia!$A$2:$C$4, 2, FALSE) * D23, 25000)</f>
        <v/>
      </c>
      <c r="F23" s="4" t="inlineStr">
        <is>
          <t>Đang giao</t>
        </is>
      </c>
    </row>
    <row r="24">
      <c r="A24" s="4" t="n">
        <v>20</v>
      </c>
      <c r="B24" s="4" t="inlineStr">
        <is>
          <t>FM-202420</t>
        </is>
      </c>
      <c r="C24" s="4" t="inlineStr">
        <is>
          <t>Miền Trung</t>
        </is>
      </c>
      <c r="D24" s="4" t="n">
        <v>2.8</v>
      </c>
      <c r="E24" s="5">
        <f>IFERROR(VLOOKUP(C24, BangGia!$A$2:$C$4, 2, FALSE) * D24, 25000)</f>
        <v/>
      </c>
      <c r="F24" s="4" t="inlineStr">
        <is>
          <t>Hoàn trả</t>
        </is>
      </c>
    </row>
    <row r="25">
      <c r="A25" s="4" t="n">
        <v>21</v>
      </c>
      <c r="B25" s="4" t="inlineStr">
        <is>
          <t>FM-202421</t>
        </is>
      </c>
      <c r="C25" s="4" t="inlineStr">
        <is>
          <t>Miền Bắc</t>
        </is>
      </c>
      <c r="D25" s="4" t="n">
        <v>3.8</v>
      </c>
      <c r="E25" s="5">
        <f>IFERROR(VLOOKUP(C25, BangGia!$A$2:$C$4, 2, FALSE) * D25, 25000)</f>
        <v/>
      </c>
      <c r="F25" s="4" t="inlineStr">
        <is>
          <t>Đã giao</t>
        </is>
      </c>
    </row>
    <row r="26">
      <c r="A26" s="4" t="n">
        <v>22</v>
      </c>
      <c r="B26" s="4" t="inlineStr">
        <is>
          <t>FM-202422</t>
        </is>
      </c>
      <c r="C26" s="4" t="inlineStr">
        <is>
          <t>Miền Trung</t>
        </is>
      </c>
      <c r="D26" s="4" t="n">
        <v>3.5</v>
      </c>
      <c r="E26" s="5">
        <f>IFERROR(VLOOKUP(C26, BangGia!$A$2:$C$4, 2, FALSE) * D26, 25000)</f>
        <v/>
      </c>
      <c r="F26" s="4" t="inlineStr">
        <is>
          <t>Đã giao</t>
        </is>
      </c>
    </row>
    <row r="27">
      <c r="A27" s="4" t="n">
        <v>23</v>
      </c>
      <c r="B27" s="4" t="inlineStr">
        <is>
          <t>FM-202423</t>
        </is>
      </c>
      <c r="C27" s="4" t="inlineStr">
        <is>
          <t>Miền Trung</t>
        </is>
      </c>
      <c r="D27" s="4" t="n">
        <v>2</v>
      </c>
      <c r="E27" s="5">
        <f>IFERROR(VLOOKUP(C27, BangGia!$A$2:$C$4, 2, FALSE) * D27, 25000)</f>
        <v/>
      </c>
      <c r="F27" s="4" t="inlineStr">
        <is>
          <t>Đang giao</t>
        </is>
      </c>
    </row>
    <row r="28">
      <c r="A28" s="4" t="n">
        <v>24</v>
      </c>
      <c r="B28" s="4" t="inlineStr">
        <is>
          <t>FM-202424</t>
        </is>
      </c>
      <c r="C28" s="4" t="inlineStr">
        <is>
          <t>Miền Bắc</t>
        </is>
      </c>
      <c r="D28" s="4" t="n">
        <v>3.8</v>
      </c>
      <c r="E28" s="5">
        <f>IFERROR(VLOOKUP(C28, BangGia!$A$2:$C$4, 2, FALSE) * D28, 25000)</f>
        <v/>
      </c>
      <c r="F28" s="4" t="inlineStr">
        <is>
          <t>Đang giao</t>
        </is>
      </c>
    </row>
    <row r="29">
      <c r="A29" s="4" t="n">
        <v>25</v>
      </c>
      <c r="B29" s="4" t="inlineStr">
        <is>
          <t>FM-202425</t>
        </is>
      </c>
      <c r="C29" s="4" t="inlineStr">
        <is>
          <t>Miền Nam</t>
        </is>
      </c>
      <c r="D29" s="4" t="n">
        <v>4</v>
      </c>
      <c r="E29" s="5">
        <f>IFERROR(VLOOKUP(C29, BangGia!$A$2:$C$4, 2, FALSE) * D29, 25000)</f>
        <v/>
      </c>
      <c r="F29" s="4" t="inlineStr">
        <is>
          <t>Đã giao</t>
        </is>
      </c>
    </row>
    <row r="30">
      <c r="A30" s="4" t="n">
        <v>26</v>
      </c>
      <c r="B30" s="4" t="inlineStr">
        <is>
          <t>FM-202426</t>
        </is>
      </c>
      <c r="C30" s="4" t="inlineStr">
        <is>
          <t>Miền Bắc</t>
        </is>
      </c>
      <c r="D30" s="4" t="n">
        <v>3.1</v>
      </c>
      <c r="E30" s="5">
        <f>IFERROR(VLOOKUP(C30, BangGia!$A$2:$C$4, 2, FALSE) * D30, 25000)</f>
        <v/>
      </c>
      <c r="F30" s="4" t="inlineStr">
        <is>
          <t>Hoàn trả</t>
        </is>
      </c>
    </row>
    <row r="31">
      <c r="A31" s="4" t="n">
        <v>27</v>
      </c>
      <c r="B31" s="4" t="inlineStr">
        <is>
          <t>FM-202427</t>
        </is>
      </c>
      <c r="C31" s="4" t="inlineStr">
        <is>
          <t>Miền Trung</t>
        </is>
      </c>
      <c r="D31" s="4" t="n">
        <v>0.6</v>
      </c>
      <c r="E31" s="5">
        <f>IFERROR(VLOOKUP(C31, BangGia!$A$2:$C$4, 2, FALSE) * D31, 25000)</f>
        <v/>
      </c>
      <c r="F31" s="4" t="inlineStr">
        <is>
          <t>Đang giao</t>
        </is>
      </c>
    </row>
    <row r="32">
      <c r="A32" s="4" t="n">
        <v>28</v>
      </c>
      <c r="B32" s="4" t="inlineStr">
        <is>
          <t>FM-202428</t>
        </is>
      </c>
      <c r="C32" s="4" t="inlineStr">
        <is>
          <t>Miền Bắc</t>
        </is>
      </c>
      <c r="D32" s="4" t="n">
        <v>2.3</v>
      </c>
      <c r="E32" s="5">
        <f>IFERROR(VLOOKUP(C32, BangGia!$A$2:$C$4, 2, FALSE) * D32, 25000)</f>
        <v/>
      </c>
      <c r="F32" s="4" t="inlineStr">
        <is>
          <t>Hoàn trả</t>
        </is>
      </c>
    </row>
    <row r="33">
      <c r="A33" s="4" t="n">
        <v>29</v>
      </c>
      <c r="B33" s="4" t="inlineStr">
        <is>
          <t>FM-202429</t>
        </is>
      </c>
      <c r="C33" s="4" t="inlineStr">
        <is>
          <t>Miền Nam</t>
        </is>
      </c>
      <c r="D33" s="4" t="n">
        <v>4.2</v>
      </c>
      <c r="E33" s="5">
        <f>IFERROR(VLOOKUP(C33, BangGia!$A$2:$C$4, 2, FALSE) * D33, 25000)</f>
        <v/>
      </c>
      <c r="F33" s="4" t="inlineStr">
        <is>
          <t>Đã giao</t>
        </is>
      </c>
    </row>
    <row r="34">
      <c r="A34" s="4" t="n">
        <v>30</v>
      </c>
      <c r="B34" s="4" t="inlineStr">
        <is>
          <t>FM-202430</t>
        </is>
      </c>
      <c r="C34" s="4" t="inlineStr">
        <is>
          <t>Miền Nam</t>
        </is>
      </c>
      <c r="D34" s="4" t="n">
        <v>1.8</v>
      </c>
      <c r="E34" s="5">
        <f>IFERROR(VLOOKUP(C34, BangGia!$A$2:$C$4, 2, FALSE) * D34, 25000)</f>
        <v/>
      </c>
      <c r="F34" s="4" t="inlineStr">
        <is>
          <t>Đang giao</t>
        </is>
      </c>
    </row>
    <row r="35">
      <c r="A35" s="4" t="n">
        <v>31</v>
      </c>
      <c r="B35" s="4" t="inlineStr">
        <is>
          <t>FM-202431</t>
        </is>
      </c>
      <c r="C35" s="4" t="inlineStr">
        <is>
          <t>Miền Nam</t>
        </is>
      </c>
      <c r="D35" s="4" t="n">
        <v>3.7</v>
      </c>
      <c r="E35" s="5">
        <f>IFERROR(VLOOKUP(C35, BangGia!$A$2:$C$4, 2, FALSE) * D35, 25000)</f>
        <v/>
      </c>
      <c r="F35" s="4" t="inlineStr">
        <is>
          <t>Hoàn trả</t>
        </is>
      </c>
    </row>
    <row r="36">
      <c r="A36" s="4" t="n">
        <v>32</v>
      </c>
      <c r="B36" s="4" t="inlineStr">
        <is>
          <t>FM-202432</t>
        </is>
      </c>
      <c r="C36" s="4" t="inlineStr">
        <is>
          <t>Miền Trung</t>
        </is>
      </c>
      <c r="D36" s="4" t="n">
        <v>4.9</v>
      </c>
      <c r="E36" s="5">
        <f>IFERROR(VLOOKUP(C36, BangGia!$A$2:$C$4, 2, FALSE) * D36, 25000)</f>
        <v/>
      </c>
      <c r="F36" s="4" t="inlineStr">
        <is>
          <t>Đã giao</t>
        </is>
      </c>
    </row>
    <row r="37">
      <c r="A37" s="4" t="n">
        <v>33</v>
      </c>
      <c r="B37" s="4" t="inlineStr">
        <is>
          <t>FM-202433</t>
        </is>
      </c>
      <c r="C37" s="4" t="inlineStr">
        <is>
          <t>Miền Nam</t>
        </is>
      </c>
      <c r="D37" s="4" t="n">
        <v>2.5</v>
      </c>
      <c r="E37" s="5">
        <f>IFERROR(VLOOKUP(C37, BangGia!$A$2:$C$4, 2, FALSE) * D37, 25000)</f>
        <v/>
      </c>
      <c r="F37" s="4" t="inlineStr">
        <is>
          <t>Đang giao</t>
        </is>
      </c>
    </row>
    <row r="38">
      <c r="A38" s="4" t="n">
        <v>34</v>
      </c>
      <c r="B38" s="4" t="inlineStr">
        <is>
          <t>FM-202434</t>
        </is>
      </c>
      <c r="C38" s="4" t="inlineStr">
        <is>
          <t>Miền Bắc</t>
        </is>
      </c>
      <c r="D38" s="4" t="n">
        <v>0.5</v>
      </c>
      <c r="E38" s="5">
        <f>IFERROR(VLOOKUP(C38, BangGia!$A$2:$C$4, 2, FALSE) * D38, 25000)</f>
        <v/>
      </c>
      <c r="F38" s="4" t="inlineStr">
        <is>
          <t>Đang giao</t>
        </is>
      </c>
    </row>
    <row r="39">
      <c r="A39" s="4" t="n">
        <v>35</v>
      </c>
      <c r="B39" s="4" t="inlineStr">
        <is>
          <t>FM-202435</t>
        </is>
      </c>
      <c r="C39" s="4" t="inlineStr">
        <is>
          <t>Miền Bắc</t>
        </is>
      </c>
      <c r="D39" s="4" t="n">
        <v>0.6</v>
      </c>
      <c r="E39" s="5">
        <f>IFERROR(VLOOKUP(C39, BangGia!$A$2:$C$4, 2, FALSE) * D39, 25000)</f>
        <v/>
      </c>
      <c r="F39" s="4" t="inlineStr">
        <is>
          <t>Đang giao</t>
        </is>
      </c>
    </row>
    <row r="40">
      <c r="A40" s="4" t="n">
        <v>36</v>
      </c>
      <c r="B40" s="4" t="inlineStr">
        <is>
          <t>FM-202436</t>
        </is>
      </c>
      <c r="C40" s="4" t="inlineStr">
        <is>
          <t>Miền Nam</t>
        </is>
      </c>
      <c r="D40" s="4" t="n">
        <v>1.7</v>
      </c>
      <c r="E40" s="5">
        <f>IFERROR(VLOOKUP(C40, BangGia!$A$2:$C$4, 2, FALSE) * D40, 25000)</f>
        <v/>
      </c>
      <c r="F40" s="4" t="inlineStr">
        <is>
          <t>Đang giao</t>
        </is>
      </c>
    </row>
    <row r="41">
      <c r="A41" s="4" t="n">
        <v>37</v>
      </c>
      <c r="B41" s="4" t="inlineStr">
        <is>
          <t>FM-202437</t>
        </is>
      </c>
      <c r="C41" s="4" t="inlineStr">
        <is>
          <t>Miền Nam</t>
        </is>
      </c>
      <c r="D41" s="4" t="n">
        <v>2.4</v>
      </c>
      <c r="E41" s="5">
        <f>IFERROR(VLOOKUP(C41, BangGia!$A$2:$C$4, 2, FALSE) * D41, 25000)</f>
        <v/>
      </c>
      <c r="F41" s="4" t="inlineStr">
        <is>
          <t>Đã giao</t>
        </is>
      </c>
    </row>
    <row r="42">
      <c r="A42" s="4" t="n">
        <v>38</v>
      </c>
      <c r="B42" s="4" t="inlineStr">
        <is>
          <t>FM-202438</t>
        </is>
      </c>
      <c r="C42" s="4" t="inlineStr">
        <is>
          <t>Miền Nam</t>
        </is>
      </c>
      <c r="D42" s="4" t="n">
        <v>0.8</v>
      </c>
      <c r="E42" s="5">
        <f>IFERROR(VLOOKUP(C42, BangGia!$A$2:$C$4, 2, FALSE) * D42, 25000)</f>
        <v/>
      </c>
      <c r="F42" s="4" t="inlineStr">
        <is>
          <t>Đang giao</t>
        </is>
      </c>
    </row>
    <row r="43">
      <c r="A43" s="4" t="n">
        <v>39</v>
      </c>
      <c r="B43" s="4" t="inlineStr">
        <is>
          <t>FM-202439</t>
        </is>
      </c>
      <c r="C43" s="4" t="inlineStr">
        <is>
          <t>Miền Nam</t>
        </is>
      </c>
      <c r="D43" s="4" t="n">
        <v>0.9</v>
      </c>
      <c r="E43" s="5">
        <f>IFERROR(VLOOKUP(C43, BangGia!$A$2:$C$4, 2, FALSE) * D43, 25000)</f>
        <v/>
      </c>
      <c r="F43" s="4" t="inlineStr">
        <is>
          <t>Đang giao</t>
        </is>
      </c>
    </row>
    <row r="44">
      <c r="A44" s="4" t="n">
        <v>40</v>
      </c>
      <c r="B44" s="4" t="inlineStr">
        <is>
          <t>FM-202440</t>
        </is>
      </c>
      <c r="C44" s="4" t="inlineStr">
        <is>
          <t>Miền Bắc</t>
        </is>
      </c>
      <c r="D44" s="4" t="n">
        <v>4.1</v>
      </c>
      <c r="E44" s="5">
        <f>IFERROR(VLOOKUP(C44, BangGia!$A$2:$C$4, 2, FALSE) * D44, 25000)</f>
        <v/>
      </c>
      <c r="F44" s="4" t="inlineStr">
        <is>
          <t>Đang giao</t>
        </is>
      </c>
    </row>
    <row r="45">
      <c r="A45" s="4" t="n">
        <v>41</v>
      </c>
      <c r="B45" s="4" t="inlineStr">
        <is>
          <t>FM-202441</t>
        </is>
      </c>
      <c r="C45" s="4" t="inlineStr">
        <is>
          <t>Miền Bắc</t>
        </is>
      </c>
      <c r="D45" s="4" t="n">
        <v>3</v>
      </c>
      <c r="E45" s="5">
        <f>IFERROR(VLOOKUP(C45, BangGia!$A$2:$C$4, 2, FALSE) * D45, 25000)</f>
        <v/>
      </c>
      <c r="F45" s="4" t="inlineStr">
        <is>
          <t>Hoàn trả</t>
        </is>
      </c>
    </row>
    <row r="46">
      <c r="A46" s="4" t="n">
        <v>42</v>
      </c>
      <c r="B46" s="4" t="inlineStr">
        <is>
          <t>FM-202442</t>
        </is>
      </c>
      <c r="C46" s="4" t="inlineStr">
        <is>
          <t>Miền Trung</t>
        </is>
      </c>
      <c r="D46" s="4" t="n">
        <v>0.6</v>
      </c>
      <c r="E46" s="5">
        <f>IFERROR(VLOOKUP(C46, BangGia!$A$2:$C$4, 2, FALSE) * D46, 25000)</f>
        <v/>
      </c>
      <c r="F46" s="4" t="inlineStr">
        <is>
          <t>Đang giao</t>
        </is>
      </c>
    </row>
    <row r="47">
      <c r="A47" s="4" t="n">
        <v>43</v>
      </c>
      <c r="B47" s="4" t="inlineStr">
        <is>
          <t>FM-202443</t>
        </is>
      </c>
      <c r="C47" s="4" t="inlineStr">
        <is>
          <t>Miền Trung</t>
        </is>
      </c>
      <c r="D47" s="4" t="n">
        <v>4.8</v>
      </c>
      <c r="E47" s="5">
        <f>IFERROR(VLOOKUP(C47, BangGia!$A$2:$C$4, 2, FALSE) * D47, 25000)</f>
        <v/>
      </c>
      <c r="F47" s="4" t="inlineStr">
        <is>
          <t>Đã giao</t>
        </is>
      </c>
    </row>
    <row r="48">
      <c r="A48" s="4" t="n">
        <v>44</v>
      </c>
      <c r="B48" s="4" t="inlineStr">
        <is>
          <t>FM-202444</t>
        </is>
      </c>
      <c r="C48" s="4" t="inlineStr">
        <is>
          <t>Miền Nam</t>
        </is>
      </c>
      <c r="D48" s="4" t="n">
        <v>2</v>
      </c>
      <c r="E48" s="5">
        <f>IFERROR(VLOOKUP(C48, BangGia!$A$2:$C$4, 2, FALSE) * D48, 25000)</f>
        <v/>
      </c>
      <c r="F48" s="4" t="inlineStr">
        <is>
          <t>Đang giao</t>
        </is>
      </c>
    </row>
    <row r="49">
      <c r="A49" s="4" t="n">
        <v>45</v>
      </c>
      <c r="B49" s="4" t="inlineStr">
        <is>
          <t>FM-202445</t>
        </is>
      </c>
      <c r="C49" s="4" t="inlineStr">
        <is>
          <t>Miền Bắc</t>
        </is>
      </c>
      <c r="D49" s="4" t="n">
        <v>3.4</v>
      </c>
      <c r="E49" s="5">
        <f>IFERROR(VLOOKUP(C49, BangGia!$A$2:$C$4, 2, FALSE) * D49, 25000)</f>
        <v/>
      </c>
      <c r="F49" s="4" t="inlineStr">
        <is>
          <t>Đã giao</t>
        </is>
      </c>
    </row>
    <row r="50">
      <c r="A50" s="4" t="n">
        <v>46</v>
      </c>
      <c r="B50" s="4" t="inlineStr">
        <is>
          <t>FM-202446</t>
        </is>
      </c>
      <c r="C50" s="4" t="inlineStr">
        <is>
          <t>Miền Trung</t>
        </is>
      </c>
      <c r="D50" s="4" t="n">
        <v>0.8</v>
      </c>
      <c r="E50" s="5">
        <f>IFERROR(VLOOKUP(C50, BangGia!$A$2:$C$4, 2, FALSE) * D50, 25000)</f>
        <v/>
      </c>
      <c r="F50" s="4" t="inlineStr">
        <is>
          <t>Hoàn trả</t>
        </is>
      </c>
    </row>
    <row r="51">
      <c r="A51" s="4" t="n">
        <v>47</v>
      </c>
      <c r="B51" s="4" t="inlineStr">
        <is>
          <t>FM-202447</t>
        </is>
      </c>
      <c r="C51" s="4" t="inlineStr">
        <is>
          <t>Miền Bắc</t>
        </is>
      </c>
      <c r="D51" s="4" t="n">
        <v>2.2</v>
      </c>
      <c r="E51" s="5">
        <f>IFERROR(VLOOKUP(C51, BangGia!$A$2:$C$4, 2, FALSE) * D51, 25000)</f>
        <v/>
      </c>
      <c r="F51" s="4" t="inlineStr">
        <is>
          <t>Đã giao</t>
        </is>
      </c>
    </row>
    <row r="52">
      <c r="A52" s="4" t="n">
        <v>48</v>
      </c>
      <c r="B52" s="4" t="inlineStr">
        <is>
          <t>FM-202448</t>
        </is>
      </c>
      <c r="C52" s="4" t="inlineStr">
        <is>
          <t>Miền Nam</t>
        </is>
      </c>
      <c r="D52" s="4" t="n">
        <v>0.9</v>
      </c>
      <c r="E52" s="5">
        <f>IFERROR(VLOOKUP(C52, BangGia!$A$2:$C$4, 2, FALSE) * D52, 25000)</f>
        <v/>
      </c>
      <c r="F52" s="4" t="inlineStr">
        <is>
          <t>Hoàn trả</t>
        </is>
      </c>
    </row>
    <row r="53">
      <c r="A53" s="4" t="n">
        <v>49</v>
      </c>
      <c r="B53" s="4" t="inlineStr">
        <is>
          <t>FM-202449</t>
        </is>
      </c>
      <c r="C53" s="4" t="inlineStr">
        <is>
          <t>Miền Bắc</t>
        </is>
      </c>
      <c r="D53" s="4" t="n">
        <v>3.9</v>
      </c>
      <c r="E53" s="5">
        <f>IFERROR(VLOOKUP(C53, BangGia!$A$2:$C$4, 2, FALSE) * D53, 25000)</f>
        <v/>
      </c>
      <c r="F53" s="4" t="inlineStr">
        <is>
          <t>Đang giao</t>
        </is>
      </c>
    </row>
    <row r="54">
      <c r="A54" s="4" t="n">
        <v>50</v>
      </c>
      <c r="B54" s="4" t="inlineStr">
        <is>
          <t>FM-202450</t>
        </is>
      </c>
      <c r="C54" s="4" t="inlineStr">
        <is>
          <t>Miền Nam</t>
        </is>
      </c>
      <c r="D54" s="4" t="n">
        <v>1.9</v>
      </c>
      <c r="E54" s="5">
        <f>IFERROR(VLOOKUP(C54, BangGia!$A$2:$C$4, 2, FALSE) * D54, 25000)</f>
        <v/>
      </c>
      <c r="F54" s="4" t="inlineStr">
        <is>
          <t>Hoàn trả</t>
        </is>
      </c>
    </row>
    <row r="55">
      <c r="A55" s="4" t="n">
        <v>51</v>
      </c>
      <c r="B55" s="4" t="inlineStr">
        <is>
          <t>FM-202451</t>
        </is>
      </c>
      <c r="C55" s="4" t="inlineStr">
        <is>
          <t>Miền Trung</t>
        </is>
      </c>
      <c r="D55" s="4" t="n">
        <v>4</v>
      </c>
      <c r="E55" s="5">
        <f>IFERROR(VLOOKUP(C55, BangGia!$A$2:$C$4, 2, FALSE) * D55, 25000)</f>
        <v/>
      </c>
      <c r="F55" s="4" t="inlineStr">
        <is>
          <t>Đang giao</t>
        </is>
      </c>
    </row>
    <row r="56">
      <c r="A56" s="4" t="n">
        <v>52</v>
      </c>
      <c r="B56" s="4" t="inlineStr">
        <is>
          <t>FM-202452</t>
        </is>
      </c>
      <c r="C56" s="4" t="inlineStr">
        <is>
          <t>Miền Trung</t>
        </is>
      </c>
      <c r="D56" s="4" t="n">
        <v>1.1</v>
      </c>
      <c r="E56" s="5">
        <f>IFERROR(VLOOKUP(C56, BangGia!$A$2:$C$4, 2, FALSE) * D56, 25000)</f>
        <v/>
      </c>
      <c r="F56" s="4" t="inlineStr">
        <is>
          <t>Đang giao</t>
        </is>
      </c>
    </row>
    <row r="57">
      <c r="A57" s="4" t="n">
        <v>53</v>
      </c>
      <c r="B57" s="4" t="inlineStr">
        <is>
          <t>FM-202453</t>
        </is>
      </c>
      <c r="C57" s="4" t="inlineStr">
        <is>
          <t>Miền Nam</t>
        </is>
      </c>
      <c r="D57" s="4" t="n">
        <v>1</v>
      </c>
      <c r="E57" s="5">
        <f>IFERROR(VLOOKUP(C57, BangGia!$A$2:$C$4, 2, FALSE) * D57, 25000)</f>
        <v/>
      </c>
      <c r="F57" s="4" t="inlineStr">
        <is>
          <t>Đã giao</t>
        </is>
      </c>
    </row>
    <row r="58">
      <c r="A58" s="4" t="n">
        <v>54</v>
      </c>
      <c r="B58" s="4" t="inlineStr">
        <is>
          <t>FM-202454</t>
        </is>
      </c>
      <c r="C58" s="4" t="inlineStr">
        <is>
          <t>Miền Nam</t>
        </is>
      </c>
      <c r="D58" s="4" t="n">
        <v>2.2</v>
      </c>
      <c r="E58" s="5">
        <f>IFERROR(VLOOKUP(C58, BangGia!$A$2:$C$4, 2, FALSE) * D58, 25000)</f>
        <v/>
      </c>
      <c r="F58" s="4" t="inlineStr">
        <is>
          <t>Đã giao</t>
        </is>
      </c>
    </row>
    <row r="59">
      <c r="A59" s="4" t="n">
        <v>55</v>
      </c>
      <c r="B59" s="4" t="inlineStr">
        <is>
          <t>FM-202455</t>
        </is>
      </c>
      <c r="C59" s="4" t="inlineStr">
        <is>
          <t>Miền Nam</t>
        </is>
      </c>
      <c r="D59" s="4" t="n">
        <v>1.1</v>
      </c>
      <c r="E59" s="5">
        <f>IFERROR(VLOOKUP(C59, BangGia!$A$2:$C$4, 2, FALSE) * D59, 25000)</f>
        <v/>
      </c>
      <c r="F59" s="4" t="inlineStr">
        <is>
          <t>Hoàn trả</t>
        </is>
      </c>
    </row>
    <row r="60">
      <c r="A60" s="4" t="n">
        <v>56</v>
      </c>
      <c r="B60" s="4" t="inlineStr">
        <is>
          <t>FM-202456</t>
        </is>
      </c>
      <c r="C60" s="4" t="inlineStr">
        <is>
          <t>Miền Bắc</t>
        </is>
      </c>
      <c r="D60" s="4" t="n">
        <v>2.1</v>
      </c>
      <c r="E60" s="5">
        <f>IFERROR(VLOOKUP(C60, BangGia!$A$2:$C$4, 2, FALSE) * D60, 25000)</f>
        <v/>
      </c>
      <c r="F60" s="4" t="inlineStr">
        <is>
          <t>Hoàn trả</t>
        </is>
      </c>
    </row>
    <row r="61">
      <c r="A61" s="4" t="n">
        <v>57</v>
      </c>
      <c r="B61" s="4" t="inlineStr">
        <is>
          <t>FM-202457</t>
        </is>
      </c>
      <c r="C61" s="4" t="inlineStr">
        <is>
          <t>Miền Nam</t>
        </is>
      </c>
      <c r="D61" s="4" t="n">
        <v>3.7</v>
      </c>
      <c r="E61" s="5">
        <f>IFERROR(VLOOKUP(C61, BangGia!$A$2:$C$4, 2, FALSE) * D61, 25000)</f>
        <v/>
      </c>
      <c r="F61" s="4" t="inlineStr">
        <is>
          <t>Hoàn trả</t>
        </is>
      </c>
    </row>
    <row r="62">
      <c r="A62" s="4" t="n">
        <v>58</v>
      </c>
      <c r="B62" s="4" t="inlineStr">
        <is>
          <t>FM-202458</t>
        </is>
      </c>
      <c r="C62" s="4" t="inlineStr">
        <is>
          <t>Miền Nam</t>
        </is>
      </c>
      <c r="D62" s="4" t="n">
        <v>2.5</v>
      </c>
      <c r="E62" s="5">
        <f>IFERROR(VLOOKUP(C62, BangGia!$A$2:$C$4, 2, FALSE) * D62, 25000)</f>
        <v/>
      </c>
      <c r="F62" s="4" t="inlineStr">
        <is>
          <t>Đang giao</t>
        </is>
      </c>
    </row>
    <row r="63">
      <c r="A63" s="4" t="n">
        <v>59</v>
      </c>
      <c r="B63" s="4" t="inlineStr">
        <is>
          <t>FM-202459</t>
        </is>
      </c>
      <c r="C63" s="4" t="inlineStr">
        <is>
          <t>Miền Bắc</t>
        </is>
      </c>
      <c r="D63" s="4" t="n">
        <v>1.2</v>
      </c>
      <c r="E63" s="5">
        <f>IFERROR(VLOOKUP(C63, BangGia!$A$2:$C$4, 2, FALSE) * D63, 25000)</f>
        <v/>
      </c>
      <c r="F63" s="4" t="inlineStr">
        <is>
          <t>Đang giao</t>
        </is>
      </c>
    </row>
    <row r="64">
      <c r="A64" s="4" t="n">
        <v>60</v>
      </c>
      <c r="B64" s="4" t="inlineStr">
        <is>
          <t>FM-202460</t>
        </is>
      </c>
      <c r="C64" s="4" t="inlineStr">
        <is>
          <t>Miền Nam</t>
        </is>
      </c>
      <c r="D64" s="4" t="n">
        <v>2.8</v>
      </c>
      <c r="E64" s="5">
        <f>IFERROR(VLOOKUP(C64, BangGia!$A$2:$C$4, 2, FALSE) * D64, 25000)</f>
        <v/>
      </c>
      <c r="F64" s="4" t="inlineStr">
        <is>
          <t>Đã giao</t>
        </is>
      </c>
    </row>
    <row r="65">
      <c r="A65" s="4" t="n">
        <v>61</v>
      </c>
      <c r="B65" s="4" t="inlineStr">
        <is>
          <t>FM-202461</t>
        </is>
      </c>
      <c r="C65" s="4" t="inlineStr">
        <is>
          <t>Miền Trung</t>
        </is>
      </c>
      <c r="D65" s="4" t="n">
        <v>2.8</v>
      </c>
      <c r="E65" s="5">
        <f>IFERROR(VLOOKUP(C65, BangGia!$A$2:$C$4, 2, FALSE) * D65, 25000)</f>
        <v/>
      </c>
      <c r="F65" s="4" t="inlineStr">
        <is>
          <t>Hoàn trả</t>
        </is>
      </c>
    </row>
    <row r="66">
      <c r="A66" s="4" t="n">
        <v>62</v>
      </c>
      <c r="B66" s="4" t="inlineStr">
        <is>
          <t>FM-202462</t>
        </is>
      </c>
      <c r="C66" s="4" t="inlineStr">
        <is>
          <t>Miền Nam</t>
        </is>
      </c>
      <c r="D66" s="4" t="n">
        <v>2.2</v>
      </c>
      <c r="E66" s="5">
        <f>IFERROR(VLOOKUP(C66, BangGia!$A$2:$C$4, 2, FALSE) * D66, 25000)</f>
        <v/>
      </c>
      <c r="F66" s="4" t="inlineStr">
        <is>
          <t>Hoàn trả</t>
        </is>
      </c>
    </row>
    <row r="67">
      <c r="A67" s="4" t="n">
        <v>63</v>
      </c>
      <c r="B67" s="4" t="inlineStr">
        <is>
          <t>FM-202463</t>
        </is>
      </c>
      <c r="C67" s="4" t="inlineStr">
        <is>
          <t>Miền Trung</t>
        </is>
      </c>
      <c r="D67" s="4" t="n">
        <v>0.9</v>
      </c>
      <c r="E67" s="5">
        <f>IFERROR(VLOOKUP(C67, BangGia!$A$2:$C$4, 2, FALSE) * D67, 25000)</f>
        <v/>
      </c>
      <c r="F67" s="4" t="inlineStr">
        <is>
          <t>Hoàn trả</t>
        </is>
      </c>
    </row>
    <row r="68">
      <c r="A68" s="4" t="n">
        <v>64</v>
      </c>
      <c r="B68" s="4" t="inlineStr">
        <is>
          <t>FM-202464</t>
        </is>
      </c>
      <c r="C68" s="4" t="inlineStr">
        <is>
          <t>Miền Bắc</t>
        </is>
      </c>
      <c r="D68" s="4" t="n">
        <v>1.4</v>
      </c>
      <c r="E68" s="5">
        <f>IFERROR(VLOOKUP(C68, BangGia!$A$2:$C$4, 2, FALSE) * D68, 25000)</f>
        <v/>
      </c>
      <c r="F68" s="4" t="inlineStr">
        <is>
          <t>Đang giao</t>
        </is>
      </c>
    </row>
    <row r="69">
      <c r="A69" s="4" t="n">
        <v>65</v>
      </c>
      <c r="B69" s="4" t="inlineStr">
        <is>
          <t>FM-202465</t>
        </is>
      </c>
      <c r="C69" s="4" t="inlineStr">
        <is>
          <t>Miền Trung</t>
        </is>
      </c>
      <c r="D69" s="4" t="n">
        <v>2.3</v>
      </c>
      <c r="E69" s="5">
        <f>IFERROR(VLOOKUP(C69, BangGia!$A$2:$C$4, 2, FALSE) * D69, 25000)</f>
        <v/>
      </c>
      <c r="F69" s="4" t="inlineStr">
        <is>
          <t>Hoàn trả</t>
        </is>
      </c>
    </row>
    <row r="70">
      <c r="A70" s="4" t="n">
        <v>66</v>
      </c>
      <c r="B70" s="4" t="inlineStr">
        <is>
          <t>FM-202466</t>
        </is>
      </c>
      <c r="C70" s="4" t="inlineStr">
        <is>
          <t>Miền Bắc</t>
        </is>
      </c>
      <c r="D70" s="4" t="n">
        <v>4.8</v>
      </c>
      <c r="E70" s="5">
        <f>IFERROR(VLOOKUP(C70, BangGia!$A$2:$C$4, 2, FALSE) * D70, 25000)</f>
        <v/>
      </c>
      <c r="F70" s="4" t="inlineStr">
        <is>
          <t>Hoàn trả</t>
        </is>
      </c>
    </row>
    <row r="71">
      <c r="A71" s="4" t="n">
        <v>67</v>
      </c>
      <c r="B71" s="4" t="inlineStr">
        <is>
          <t>FM-202467</t>
        </is>
      </c>
      <c r="C71" s="4" t="inlineStr">
        <is>
          <t>Miền Bắc</t>
        </is>
      </c>
      <c r="D71" s="4" t="n">
        <v>3.9</v>
      </c>
      <c r="E71" s="5">
        <f>IFERROR(VLOOKUP(C71, BangGia!$A$2:$C$4, 2, FALSE) * D71, 25000)</f>
        <v/>
      </c>
      <c r="F71" s="4" t="inlineStr">
        <is>
          <t>Đã giao</t>
        </is>
      </c>
    </row>
    <row r="72">
      <c r="A72" s="4" t="n">
        <v>68</v>
      </c>
      <c r="B72" s="4" t="inlineStr">
        <is>
          <t>FM-202468</t>
        </is>
      </c>
      <c r="C72" s="4" t="inlineStr">
        <is>
          <t>Miền Bắc</t>
        </is>
      </c>
      <c r="D72" s="4" t="n">
        <v>1.7</v>
      </c>
      <c r="E72" s="5">
        <f>IFERROR(VLOOKUP(C72, BangGia!$A$2:$C$4, 2, FALSE) * D72, 25000)</f>
        <v/>
      </c>
      <c r="F72" s="4" t="inlineStr">
        <is>
          <t>Đã giao</t>
        </is>
      </c>
    </row>
    <row r="73">
      <c r="A73" s="4" t="n">
        <v>69</v>
      </c>
      <c r="B73" s="4" t="inlineStr">
        <is>
          <t>FM-202469</t>
        </is>
      </c>
      <c r="C73" s="4" t="inlineStr">
        <is>
          <t>Miền Bắc</t>
        </is>
      </c>
      <c r="D73" s="4" t="n">
        <v>3.2</v>
      </c>
      <c r="E73" s="5">
        <f>IFERROR(VLOOKUP(C73, BangGia!$A$2:$C$4, 2, FALSE) * D73, 25000)</f>
        <v/>
      </c>
      <c r="F73" s="4" t="inlineStr">
        <is>
          <t>Đã giao</t>
        </is>
      </c>
    </row>
    <row r="74">
      <c r="A74" s="4" t="n">
        <v>70</v>
      </c>
      <c r="B74" s="4" t="inlineStr">
        <is>
          <t>FM-202470</t>
        </is>
      </c>
      <c r="C74" s="4" t="inlineStr">
        <is>
          <t>Miền Trung</t>
        </is>
      </c>
      <c r="D74" s="4" t="n">
        <v>3</v>
      </c>
      <c r="E74" s="5">
        <f>IFERROR(VLOOKUP(C74, BangGia!$A$2:$C$4, 2, FALSE) * D74, 25000)</f>
        <v/>
      </c>
      <c r="F74" s="4" t="inlineStr">
        <is>
          <t>Đã giao</t>
        </is>
      </c>
    </row>
    <row r="75">
      <c r="A75" s="4" t="n">
        <v>71</v>
      </c>
      <c r="B75" s="4" t="inlineStr">
        <is>
          <t>FM-202471</t>
        </is>
      </c>
      <c r="C75" s="4" t="inlineStr">
        <is>
          <t>Miền Nam</t>
        </is>
      </c>
      <c r="D75" s="4" t="n">
        <v>1.1</v>
      </c>
      <c r="E75" s="5">
        <f>IFERROR(VLOOKUP(C75, BangGia!$A$2:$C$4, 2, FALSE) * D75, 25000)</f>
        <v/>
      </c>
      <c r="F75" s="4" t="inlineStr">
        <is>
          <t>Đang giao</t>
        </is>
      </c>
    </row>
    <row r="76">
      <c r="A76" s="4" t="n">
        <v>72</v>
      </c>
      <c r="B76" s="4" t="inlineStr">
        <is>
          <t>FM-202472</t>
        </is>
      </c>
      <c r="C76" s="4" t="inlineStr">
        <is>
          <t>Miền Trung</t>
        </is>
      </c>
      <c r="D76" s="4" t="n">
        <v>3.8</v>
      </c>
      <c r="E76" s="5">
        <f>IFERROR(VLOOKUP(C76, BangGia!$A$2:$C$4, 2, FALSE) * D76, 25000)</f>
        <v/>
      </c>
      <c r="F76" s="4" t="inlineStr">
        <is>
          <t>Đã giao</t>
        </is>
      </c>
    </row>
    <row r="77">
      <c r="A77" s="4" t="n">
        <v>73</v>
      </c>
      <c r="B77" s="4" t="inlineStr">
        <is>
          <t>FM-202473</t>
        </is>
      </c>
      <c r="C77" s="4" t="inlineStr">
        <is>
          <t>Miền Trung</t>
        </is>
      </c>
      <c r="D77" s="4" t="n">
        <v>3.7</v>
      </c>
      <c r="E77" s="5">
        <f>IFERROR(VLOOKUP(C77, BangGia!$A$2:$C$4, 2, FALSE) * D77, 25000)</f>
        <v/>
      </c>
      <c r="F77" s="4" t="inlineStr">
        <is>
          <t>Hoàn trả</t>
        </is>
      </c>
    </row>
    <row r="78">
      <c r="A78" s="4" t="n">
        <v>74</v>
      </c>
      <c r="B78" s="4" t="inlineStr">
        <is>
          <t>FM-202474</t>
        </is>
      </c>
      <c r="C78" s="4" t="inlineStr">
        <is>
          <t>Miền Trung</t>
        </is>
      </c>
      <c r="D78" s="4" t="n">
        <v>2</v>
      </c>
      <c r="E78" s="5">
        <f>IFERROR(VLOOKUP(C78, BangGia!$A$2:$C$4, 2, FALSE) * D78, 25000)</f>
        <v/>
      </c>
      <c r="F78" s="4" t="inlineStr">
        <is>
          <t>Đã giao</t>
        </is>
      </c>
    </row>
    <row r="79">
      <c r="A79" s="4" t="n">
        <v>75</v>
      </c>
      <c r="B79" s="4" t="inlineStr">
        <is>
          <t>FM-202475</t>
        </is>
      </c>
      <c r="C79" s="4" t="inlineStr">
        <is>
          <t>Miền Nam</t>
        </is>
      </c>
      <c r="D79" s="4" t="n">
        <v>4.7</v>
      </c>
      <c r="E79" s="5">
        <f>IFERROR(VLOOKUP(C79, BangGia!$A$2:$C$4, 2, FALSE) * D79, 25000)</f>
        <v/>
      </c>
      <c r="F79" s="4" t="inlineStr">
        <is>
          <t>Hoàn trả</t>
        </is>
      </c>
    </row>
    <row r="80">
      <c r="A80" s="4" t="n">
        <v>76</v>
      </c>
      <c r="B80" s="4" t="inlineStr">
        <is>
          <t>FM-202476</t>
        </is>
      </c>
      <c r="C80" s="4" t="inlineStr">
        <is>
          <t>Miền Nam</t>
        </is>
      </c>
      <c r="D80" s="4" t="n">
        <v>0.5</v>
      </c>
      <c r="E80" s="5">
        <f>IFERROR(VLOOKUP(C80, BangGia!$A$2:$C$4, 2, FALSE) * D80, 25000)</f>
        <v/>
      </c>
      <c r="F80" s="4" t="inlineStr">
        <is>
          <t>Hoàn trả</t>
        </is>
      </c>
    </row>
    <row r="81">
      <c r="A81" s="4" t="n">
        <v>77</v>
      </c>
      <c r="B81" s="4" t="inlineStr">
        <is>
          <t>FM-202477</t>
        </is>
      </c>
      <c r="C81" s="4" t="inlineStr">
        <is>
          <t>Miền Nam</t>
        </is>
      </c>
      <c r="D81" s="4" t="n">
        <v>4.9</v>
      </c>
      <c r="E81" s="5">
        <f>IFERROR(VLOOKUP(C81, BangGia!$A$2:$C$4, 2, FALSE) * D81, 25000)</f>
        <v/>
      </c>
      <c r="F81" s="4" t="inlineStr">
        <is>
          <t>Đang giao</t>
        </is>
      </c>
    </row>
    <row r="82">
      <c r="A82" s="4" t="n">
        <v>78</v>
      </c>
      <c r="B82" s="4" t="inlineStr">
        <is>
          <t>FM-202478</t>
        </is>
      </c>
      <c r="C82" s="4" t="inlineStr">
        <is>
          <t>Miền Nam</t>
        </is>
      </c>
      <c r="D82" s="4" t="n">
        <v>3.1</v>
      </c>
      <c r="E82" s="5">
        <f>IFERROR(VLOOKUP(C82, BangGia!$A$2:$C$4, 2, FALSE) * D82, 25000)</f>
        <v/>
      </c>
      <c r="F82" s="4" t="inlineStr">
        <is>
          <t>Hoàn trả</t>
        </is>
      </c>
    </row>
    <row r="83">
      <c r="A83" s="4" t="n">
        <v>79</v>
      </c>
      <c r="B83" s="4" t="inlineStr">
        <is>
          <t>FM-202479</t>
        </is>
      </c>
      <c r="C83" s="4" t="inlineStr">
        <is>
          <t>Miền Bắc</t>
        </is>
      </c>
      <c r="D83" s="4" t="n">
        <v>2.1</v>
      </c>
      <c r="E83" s="5">
        <f>IFERROR(VLOOKUP(C83, BangGia!$A$2:$C$4, 2, FALSE) * D83, 25000)</f>
        <v/>
      </c>
      <c r="F83" s="4" t="inlineStr">
        <is>
          <t>Đang giao</t>
        </is>
      </c>
    </row>
    <row r="84">
      <c r="A84" s="4" t="n">
        <v>80</v>
      </c>
      <c r="B84" s="4" t="inlineStr">
        <is>
          <t>FM-202480</t>
        </is>
      </c>
      <c r="C84" s="4" t="inlineStr">
        <is>
          <t>Miền Trung</t>
        </is>
      </c>
      <c r="D84" s="4" t="n">
        <v>4.8</v>
      </c>
      <c r="E84" s="5">
        <f>IFERROR(VLOOKUP(C84, BangGia!$A$2:$C$4, 2, FALSE) * D84, 25000)</f>
        <v/>
      </c>
      <c r="F84" s="4" t="inlineStr">
        <is>
          <t>Đang giao</t>
        </is>
      </c>
    </row>
    <row r="85">
      <c r="A85" s="4" t="n">
        <v>81</v>
      </c>
      <c r="B85" s="4" t="inlineStr">
        <is>
          <t>FM-202481</t>
        </is>
      </c>
      <c r="C85" s="4" t="inlineStr">
        <is>
          <t>Miền Trung</t>
        </is>
      </c>
      <c r="D85" s="4" t="n">
        <v>2.1</v>
      </c>
      <c r="E85" s="5">
        <f>IFERROR(VLOOKUP(C85, BangGia!$A$2:$C$4, 2, FALSE) * D85, 25000)</f>
        <v/>
      </c>
      <c r="F85" s="4" t="inlineStr">
        <is>
          <t>Đang giao</t>
        </is>
      </c>
    </row>
    <row r="86">
      <c r="A86" s="4" t="n">
        <v>82</v>
      </c>
      <c r="B86" s="4" t="inlineStr">
        <is>
          <t>FM-202482</t>
        </is>
      </c>
      <c r="C86" s="4" t="inlineStr">
        <is>
          <t>Miền Trung</t>
        </is>
      </c>
      <c r="D86" s="4" t="n">
        <v>4.2</v>
      </c>
      <c r="E86" s="5">
        <f>IFERROR(VLOOKUP(C86, BangGia!$A$2:$C$4, 2, FALSE) * D86, 25000)</f>
        <v/>
      </c>
      <c r="F86" s="4" t="inlineStr">
        <is>
          <t>Đã giao</t>
        </is>
      </c>
    </row>
    <row r="87">
      <c r="A87" s="4" t="n">
        <v>83</v>
      </c>
      <c r="B87" s="4" t="inlineStr">
        <is>
          <t>FM-202483</t>
        </is>
      </c>
      <c r="C87" s="4" t="inlineStr">
        <is>
          <t>Miền Bắc</t>
        </is>
      </c>
      <c r="D87" s="4" t="n">
        <v>2.2</v>
      </c>
      <c r="E87" s="5">
        <f>IFERROR(VLOOKUP(C87, BangGia!$A$2:$C$4, 2, FALSE) * D87, 25000)</f>
        <v/>
      </c>
      <c r="F87" s="4" t="inlineStr">
        <is>
          <t>Đã giao</t>
        </is>
      </c>
    </row>
    <row r="88">
      <c r="A88" s="4" t="n">
        <v>84</v>
      </c>
      <c r="B88" s="4" t="inlineStr">
        <is>
          <t>FM-202484</t>
        </is>
      </c>
      <c r="C88" s="4" t="inlineStr">
        <is>
          <t>Miền Trung</t>
        </is>
      </c>
      <c r="D88" s="4" t="n">
        <v>2.2</v>
      </c>
      <c r="E88" s="5">
        <f>IFERROR(VLOOKUP(C88, BangGia!$A$2:$C$4, 2, FALSE) * D88, 25000)</f>
        <v/>
      </c>
      <c r="F88" s="4" t="inlineStr">
        <is>
          <t>Đang giao</t>
        </is>
      </c>
    </row>
    <row r="89">
      <c r="A89" s="4" t="n">
        <v>85</v>
      </c>
      <c r="B89" s="4" t="inlineStr">
        <is>
          <t>FM-202485</t>
        </is>
      </c>
      <c r="C89" s="4" t="inlineStr">
        <is>
          <t>Miền Bắc</t>
        </is>
      </c>
      <c r="D89" s="4" t="n">
        <v>4.4</v>
      </c>
      <c r="E89" s="5">
        <f>IFERROR(VLOOKUP(C89, BangGia!$A$2:$C$4, 2, FALSE) * D89, 25000)</f>
        <v/>
      </c>
      <c r="F89" s="4" t="inlineStr">
        <is>
          <t>Đang giao</t>
        </is>
      </c>
    </row>
    <row r="90">
      <c r="A90" s="4" t="n">
        <v>86</v>
      </c>
      <c r="B90" s="4" t="inlineStr">
        <is>
          <t>FM-202486</t>
        </is>
      </c>
      <c r="C90" s="4" t="inlineStr">
        <is>
          <t>Miền Trung</t>
        </is>
      </c>
      <c r="D90" s="4" t="n">
        <v>0.8</v>
      </c>
      <c r="E90" s="5">
        <f>IFERROR(VLOOKUP(C90, BangGia!$A$2:$C$4, 2, FALSE) * D90, 25000)</f>
        <v/>
      </c>
      <c r="F90" s="4" t="inlineStr">
        <is>
          <t>Đang giao</t>
        </is>
      </c>
    </row>
    <row r="91">
      <c r="A91" s="4" t="n">
        <v>87</v>
      </c>
      <c r="B91" s="4" t="inlineStr">
        <is>
          <t>FM-202487</t>
        </is>
      </c>
      <c r="C91" s="4" t="inlineStr">
        <is>
          <t>Miền Bắc</t>
        </is>
      </c>
      <c r="D91" s="4" t="n">
        <v>4.6</v>
      </c>
      <c r="E91" s="5">
        <f>IFERROR(VLOOKUP(C91, BangGia!$A$2:$C$4, 2, FALSE) * D91, 25000)</f>
        <v/>
      </c>
      <c r="F91" s="4" t="inlineStr">
        <is>
          <t>Hoàn trả</t>
        </is>
      </c>
    </row>
    <row r="92">
      <c r="A92" s="4" t="n">
        <v>88</v>
      </c>
      <c r="B92" s="4" t="inlineStr">
        <is>
          <t>FM-202488</t>
        </is>
      </c>
      <c r="C92" s="4" t="inlineStr">
        <is>
          <t>Miền Nam</t>
        </is>
      </c>
      <c r="D92" s="4" t="n">
        <v>2</v>
      </c>
      <c r="E92" s="5">
        <f>IFERROR(VLOOKUP(C92, BangGia!$A$2:$C$4, 2, FALSE) * D92, 25000)</f>
        <v/>
      </c>
      <c r="F92" s="4" t="inlineStr">
        <is>
          <t>Đang giao</t>
        </is>
      </c>
    </row>
    <row r="93">
      <c r="A93" s="4" t="n">
        <v>89</v>
      </c>
      <c r="B93" s="4" t="inlineStr">
        <is>
          <t>FM-202489</t>
        </is>
      </c>
      <c r="C93" s="4" t="inlineStr">
        <is>
          <t>Miền Bắc</t>
        </is>
      </c>
      <c r="D93" s="4" t="n">
        <v>3.1</v>
      </c>
      <c r="E93" s="5">
        <f>IFERROR(VLOOKUP(C93, BangGia!$A$2:$C$4, 2, FALSE) * D93, 25000)</f>
        <v/>
      </c>
      <c r="F93" s="4" t="inlineStr">
        <is>
          <t>Đang giao</t>
        </is>
      </c>
    </row>
    <row r="94">
      <c r="A94" s="4" t="n">
        <v>90</v>
      </c>
      <c r="B94" s="4" t="inlineStr">
        <is>
          <t>FM-202490</t>
        </is>
      </c>
      <c r="C94" s="4" t="inlineStr">
        <is>
          <t>Miền Bắc</t>
        </is>
      </c>
      <c r="D94" s="4" t="n">
        <v>2.6</v>
      </c>
      <c r="E94" s="5">
        <f>IFERROR(VLOOKUP(C94, BangGia!$A$2:$C$4, 2, FALSE) * D94, 25000)</f>
        <v/>
      </c>
      <c r="F94" s="4" t="inlineStr">
        <is>
          <t>Hoàn trả</t>
        </is>
      </c>
    </row>
    <row r="95">
      <c r="A95" s="4" t="n">
        <v>91</v>
      </c>
      <c r="B95" s="4" t="inlineStr">
        <is>
          <t>FM-202491</t>
        </is>
      </c>
      <c r="C95" s="4" t="inlineStr">
        <is>
          <t>Miền Trung</t>
        </is>
      </c>
      <c r="D95" s="4" t="n">
        <v>1.6</v>
      </c>
      <c r="E95" s="5">
        <f>IFERROR(VLOOKUP(C95, BangGia!$A$2:$C$4, 2, FALSE) * D95, 25000)</f>
        <v/>
      </c>
      <c r="F95" s="4" t="inlineStr">
        <is>
          <t>Đang giao</t>
        </is>
      </c>
    </row>
    <row r="96">
      <c r="A96" s="4" t="n">
        <v>92</v>
      </c>
      <c r="B96" s="4" t="inlineStr">
        <is>
          <t>FM-202492</t>
        </is>
      </c>
      <c r="C96" s="4" t="inlineStr">
        <is>
          <t>Miền Trung</t>
        </is>
      </c>
      <c r="D96" s="4" t="n">
        <v>4.3</v>
      </c>
      <c r="E96" s="5">
        <f>IFERROR(VLOOKUP(C96, BangGia!$A$2:$C$4, 2, FALSE) * D96, 25000)</f>
        <v/>
      </c>
      <c r="F96" s="4" t="inlineStr">
        <is>
          <t>Hoàn trả</t>
        </is>
      </c>
    </row>
    <row r="97">
      <c r="A97" s="4" t="n">
        <v>93</v>
      </c>
      <c r="B97" s="4" t="inlineStr">
        <is>
          <t>FM-202493</t>
        </is>
      </c>
      <c r="C97" s="4" t="inlineStr">
        <is>
          <t>Miền Nam</t>
        </is>
      </c>
      <c r="D97" s="4" t="n">
        <v>2</v>
      </c>
      <c r="E97" s="5">
        <f>IFERROR(VLOOKUP(C97, BangGia!$A$2:$C$4, 2, FALSE) * D97, 25000)</f>
        <v/>
      </c>
      <c r="F97" s="4" t="inlineStr">
        <is>
          <t>Hoàn trả</t>
        </is>
      </c>
    </row>
    <row r="98">
      <c r="A98" s="4" t="n">
        <v>94</v>
      </c>
      <c r="B98" s="4" t="inlineStr">
        <is>
          <t>FM-202494</t>
        </is>
      </c>
      <c r="C98" s="4" t="inlineStr">
        <is>
          <t>Miền Trung</t>
        </is>
      </c>
      <c r="D98" s="4" t="n">
        <v>2.8</v>
      </c>
      <c r="E98" s="5">
        <f>IFERROR(VLOOKUP(C98, BangGia!$A$2:$C$4, 2, FALSE) * D98, 25000)</f>
        <v/>
      </c>
      <c r="F98" s="4" t="inlineStr">
        <is>
          <t>Đang giao</t>
        </is>
      </c>
    </row>
    <row r="99">
      <c r="A99" s="4" t="n">
        <v>95</v>
      </c>
      <c r="B99" s="4" t="inlineStr">
        <is>
          <t>FM-202495</t>
        </is>
      </c>
      <c r="C99" s="4" t="inlineStr">
        <is>
          <t>Miền Trung</t>
        </is>
      </c>
      <c r="D99" s="4" t="n">
        <v>4.8</v>
      </c>
      <c r="E99" s="5">
        <f>IFERROR(VLOOKUP(C99, BangGia!$A$2:$C$4, 2, FALSE) * D99, 25000)</f>
        <v/>
      </c>
      <c r="F99" s="4" t="inlineStr">
        <is>
          <t>Đã giao</t>
        </is>
      </c>
    </row>
    <row r="100">
      <c r="A100" s="4" t="n">
        <v>96</v>
      </c>
      <c r="B100" s="4" t="inlineStr">
        <is>
          <t>FM-202496</t>
        </is>
      </c>
      <c r="C100" s="4" t="inlineStr">
        <is>
          <t>Miền Bắc</t>
        </is>
      </c>
      <c r="D100" s="4" t="n">
        <v>0.6</v>
      </c>
      <c r="E100" s="5">
        <f>IFERROR(VLOOKUP(C100, BangGia!$A$2:$C$4, 2, FALSE) * D100, 25000)</f>
        <v/>
      </c>
      <c r="F100" s="4" t="inlineStr">
        <is>
          <t>Hoàn trả</t>
        </is>
      </c>
    </row>
    <row r="101">
      <c r="A101" s="4" t="n">
        <v>97</v>
      </c>
      <c r="B101" s="4" t="inlineStr">
        <is>
          <t>FM-202497</t>
        </is>
      </c>
      <c r="C101" s="4" t="inlineStr">
        <is>
          <t>Miền Trung</t>
        </is>
      </c>
      <c r="D101" s="4" t="n">
        <v>3.8</v>
      </c>
      <c r="E101" s="5">
        <f>IFERROR(VLOOKUP(C101, BangGia!$A$2:$C$4, 2, FALSE) * D101, 25000)</f>
        <v/>
      </c>
      <c r="F101" s="4" t="inlineStr">
        <is>
          <t>Đang giao</t>
        </is>
      </c>
    </row>
    <row r="102">
      <c r="A102" s="4" t="n">
        <v>98</v>
      </c>
      <c r="B102" s="4" t="inlineStr">
        <is>
          <t>FM-202498</t>
        </is>
      </c>
      <c r="C102" s="4" t="inlineStr">
        <is>
          <t>Miền Nam</t>
        </is>
      </c>
      <c r="D102" s="4" t="n">
        <v>0.7</v>
      </c>
      <c r="E102" s="5">
        <f>IFERROR(VLOOKUP(C102, BangGia!$A$2:$C$4, 2, FALSE) * D102, 25000)</f>
        <v/>
      </c>
      <c r="F102" s="4" t="inlineStr">
        <is>
          <t>Hoàn trả</t>
        </is>
      </c>
    </row>
    <row r="103">
      <c r="A103" s="4" t="n">
        <v>99</v>
      </c>
      <c r="B103" s="4" t="inlineStr">
        <is>
          <t>FM-202499</t>
        </is>
      </c>
      <c r="C103" s="4" t="inlineStr">
        <is>
          <t>Miền Bắc</t>
        </is>
      </c>
      <c r="D103" s="4" t="n">
        <v>2</v>
      </c>
      <c r="E103" s="5">
        <f>IFERROR(VLOOKUP(C103, BangGia!$A$2:$C$4, 2, FALSE) * D103, 25000)</f>
        <v/>
      </c>
      <c r="F103" s="4" t="inlineStr">
        <is>
          <t>Đang giao</t>
        </is>
      </c>
    </row>
    <row r="104">
      <c r="A104" s="4" t="n">
        <v>100</v>
      </c>
      <c r="B104" s="4" t="inlineStr">
        <is>
          <t>FM-202500</t>
        </is>
      </c>
      <c r="C104" s="4" t="inlineStr">
        <is>
          <t>Miền Bắc</t>
        </is>
      </c>
      <c r="D104" s="4" t="n">
        <v>3.2</v>
      </c>
      <c r="E104" s="5">
        <f>IFERROR(VLOOKUP(C104, BangGia!$A$2:$C$4, 2, FALSE) * D104, 25000)</f>
        <v/>
      </c>
      <c r="F104" s="4" t="inlineStr">
        <is>
          <t>Đã giao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0" customWidth="1" min="3" max="3"/>
  </cols>
  <sheetData>
    <row r="1">
      <c r="A1" s="6" t="inlineStr">
        <is>
          <t>BẢNG ĐƠN GIÁ CƯỚC THEO KHU VỰC</t>
        </is>
      </c>
    </row>
    <row r="3">
      <c r="A3" s="3" t="inlineStr">
        <is>
          <t>Khu vực</t>
        </is>
      </c>
      <c r="B3" s="3" t="inlineStr">
        <is>
          <t>Đơn giá cước/kg (VNĐ)</t>
        </is>
      </c>
      <c r="C3" s="3" t="inlineStr">
        <is>
          <t>Ghi chú</t>
        </is>
      </c>
    </row>
    <row r="4">
      <c r="A4" s="4" t="inlineStr">
        <is>
          <t>Miền Bắc</t>
        </is>
      </c>
      <c r="B4" s="5" t="n">
        <v>15000</v>
      </c>
      <c r="C4" s="7" t="inlineStr">
        <is>
          <t>Trọng điểm phía Bắc</t>
        </is>
      </c>
    </row>
    <row r="5">
      <c r="A5" s="4" t="inlineStr">
        <is>
          <t>Miền Trung</t>
        </is>
      </c>
      <c r="B5" s="5" t="n">
        <v>18000</v>
      </c>
      <c r="C5" s="7" t="inlineStr">
        <is>
          <t>Vận chuyển liên tỉnh miền Trung</t>
        </is>
      </c>
    </row>
    <row r="6">
      <c r="A6" s="4" t="inlineStr">
        <is>
          <t>Miền Nam</t>
        </is>
      </c>
      <c r="B6" s="5" t="n">
        <v>20000</v>
      </c>
      <c r="C6" s="7" t="inlineStr">
        <is>
          <t>Hub trung tâm phía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2026-10-27T10:42:39Z</dcterms:created>
  <dcterms:modified xmlns:dcterms="http://purl.org/dc/terms/" xmlns:xsi="http://www.w3.org/2001/XMLSchema-instance" xsi:type="dcterms:W3CDTF">2026-10-27T10:42:39Z</dcterms:modified>
</cp:coreProperties>
</file>